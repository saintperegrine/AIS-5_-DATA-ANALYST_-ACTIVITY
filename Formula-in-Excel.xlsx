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C61047B-AA4F-4DFB-BC90-B471613A5323}" xr6:coauthVersionLast="47" xr6:coauthVersionMax="47" xr10:uidLastSave="{00000000-0000-0000-0000-000000000000}"/>
  <bookViews>
    <workbookView xWindow="-110" yWindow="-110" windowWidth="19420" windowHeight="10300" firstSheet="5" activeTab="7" xr2:uid="{DB482454-B970-4EF7-B5FB-61D2E16E94BB}"/>
  </bookViews>
  <sheets>
    <sheet name="MAX_MIN" sheetId="2" r:id="rId1"/>
    <sheet name="IF_IFS" sheetId="3" r:id="rId2"/>
    <sheet name="Len" sheetId="4" r:id="rId3"/>
    <sheet name="LeftRight" sheetId="5" r:id="rId4"/>
    <sheet name="DateToText" sheetId="6" r:id="rId5"/>
    <sheet name="TRIM" sheetId="7" r:id="rId6"/>
    <sheet name="Concatenate" sheetId="8" r:id="rId7"/>
    <sheet name="Substitute" sheetId="9" r:id="rId8"/>
    <sheet name="SUM-SumIF" sheetId="11" r:id="rId9"/>
    <sheet name="Count-CountIF" sheetId="13" r:id="rId10"/>
    <sheet name="Days-NetworkDays" sheetId="14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4" l="1"/>
  <c r="K4" i="14"/>
  <c r="K5" i="14"/>
  <c r="K6" i="14"/>
  <c r="K7" i="14"/>
  <c r="K8" i="14"/>
  <c r="K9" i="14"/>
  <c r="K10" i="14"/>
  <c r="K2" i="14"/>
  <c r="J6" i="14"/>
  <c r="J3" i="14"/>
  <c r="J4" i="14"/>
  <c r="J5" i="14"/>
  <c r="J7" i="14"/>
  <c r="J8" i="14"/>
  <c r="J9" i="14"/>
  <c r="J10" i="14"/>
  <c r="J2" i="14"/>
  <c r="L2" i="13"/>
  <c r="K2" i="13"/>
  <c r="J2" i="13"/>
  <c r="L2" i="11"/>
  <c r="K2" i="11"/>
  <c r="J2" i="11"/>
  <c r="K3" i="9"/>
  <c r="K4" i="9"/>
  <c r="K5" i="9"/>
  <c r="K6" i="9"/>
  <c r="K7" i="9"/>
  <c r="K8" i="9"/>
  <c r="K9" i="9"/>
  <c r="K10" i="9"/>
  <c r="K2" i="9"/>
  <c r="J3" i="9"/>
  <c r="J4" i="9"/>
  <c r="J5" i="9"/>
  <c r="J6" i="9"/>
  <c r="J7" i="9"/>
  <c r="J8" i="9"/>
  <c r="J9" i="9"/>
  <c r="J10" i="9"/>
  <c r="J2" i="9"/>
  <c r="L3" i="9"/>
  <c r="L4" i="9"/>
  <c r="L5" i="9"/>
  <c r="L6" i="9"/>
  <c r="L7" i="9"/>
  <c r="L8" i="9"/>
  <c r="L9" i="9"/>
  <c r="L10" i="9"/>
  <c r="L2" i="9"/>
  <c r="J2" i="8"/>
  <c r="J10" i="8"/>
  <c r="J9" i="8"/>
  <c r="J8" i="8"/>
  <c r="J7" i="8"/>
  <c r="J6" i="8"/>
  <c r="J5" i="8"/>
  <c r="J4" i="8"/>
  <c r="J3" i="8"/>
  <c r="J3" i="7"/>
  <c r="J4" i="7"/>
  <c r="J5" i="7"/>
  <c r="J6" i="7"/>
  <c r="J7" i="7"/>
  <c r="J8" i="7"/>
  <c r="J9" i="7"/>
  <c r="J10" i="7"/>
  <c r="J2" i="7"/>
  <c r="L3" i="6"/>
  <c r="L4" i="6"/>
  <c r="L5" i="6"/>
  <c r="L6" i="6"/>
  <c r="L7" i="6"/>
  <c r="L8" i="6"/>
  <c r="L9" i="6"/>
  <c r="L10" i="6"/>
  <c r="L2" i="6"/>
  <c r="J3" i="6"/>
  <c r="J4" i="6"/>
  <c r="J5" i="6"/>
  <c r="J6" i="6"/>
  <c r="J7" i="6"/>
  <c r="J8" i="6"/>
  <c r="J9" i="6"/>
  <c r="J10" i="6"/>
  <c r="J2" i="6"/>
  <c r="M3" i="5"/>
  <c r="M4" i="5"/>
  <c r="M5" i="5"/>
  <c r="M6" i="5"/>
  <c r="M7" i="5"/>
  <c r="M8" i="5"/>
  <c r="M9" i="5"/>
  <c r="M10" i="5"/>
  <c r="M2" i="5"/>
  <c r="L3" i="5"/>
  <c r="L4" i="5"/>
  <c r="L5" i="5"/>
  <c r="L6" i="5"/>
  <c r="L7" i="5"/>
  <c r="L8" i="5"/>
  <c r="L9" i="5"/>
  <c r="L10" i="5"/>
  <c r="L2" i="5"/>
  <c r="K3" i="5"/>
  <c r="K4" i="5"/>
  <c r="K5" i="5"/>
  <c r="K6" i="5"/>
  <c r="K7" i="5"/>
  <c r="K8" i="5"/>
  <c r="K9" i="5"/>
  <c r="K10" i="5"/>
  <c r="K2" i="5"/>
  <c r="J3" i="4"/>
  <c r="J4" i="4"/>
  <c r="J5" i="4"/>
  <c r="J6" i="4"/>
  <c r="J7" i="4"/>
  <c r="J8" i="4"/>
  <c r="J9" i="4"/>
  <c r="J10" i="4"/>
  <c r="J2" i="4"/>
  <c r="K3" i="3"/>
  <c r="K4" i="3"/>
  <c r="K5" i="3"/>
  <c r="K6" i="3"/>
  <c r="K7" i="3"/>
  <c r="K8" i="3"/>
  <c r="K9" i="3"/>
  <c r="K10" i="3"/>
  <c r="K2" i="3"/>
  <c r="J3" i="3"/>
  <c r="J4" i="3"/>
  <c r="J5" i="3"/>
  <c r="J6" i="3"/>
  <c r="J7" i="3"/>
  <c r="J8" i="3"/>
  <c r="J9" i="3"/>
  <c r="J10" i="3"/>
  <c r="J2" i="3"/>
  <c r="K3" i="2"/>
  <c r="K2" i="2"/>
  <c r="J3" i="2"/>
  <c r="J2" i="2"/>
</calcChain>
</file>

<file path=xl/sharedStrings.xml><?xml version="1.0" encoding="utf-8"?>
<sst xmlns="http://schemas.openxmlformats.org/spreadsheetml/2006/main" count="560" uniqueCount="72">
  <si>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</si>
  <si>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</si>
  <si>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</si>
  <si>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</si>
  <si>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</si>
  <si>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</si>
  <si>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</si>
  <si>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</si>
  <si>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</si>
  <si>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Male</t>
  </si>
  <si>
    <t>Female</t>
  </si>
  <si>
    <t>Salesman</t>
  </si>
  <si>
    <t>Receptionist</t>
  </si>
  <si>
    <t>Accountant</t>
  </si>
  <si>
    <t>HR</t>
  </si>
  <si>
    <t>Max</t>
  </si>
  <si>
    <t>Min</t>
  </si>
  <si>
    <t>IF</t>
  </si>
  <si>
    <t>IFS</t>
  </si>
  <si>
    <t>Regional Manager</t>
  </si>
  <si>
    <t>Supplier Relations</t>
  </si>
  <si>
    <t>09/14/2011</t>
  </si>
  <si>
    <t xml:space="preserve">       09/14/2011</t>
  </si>
  <si>
    <t>04/22/2015</t>
  </si>
  <si>
    <t>08/30/2017</t>
  </si>
  <si>
    <t xml:space="preserve">       08/30/2017</t>
  </si>
  <si>
    <t xml:space="preserve">       04/22/2015</t>
  </si>
  <si>
    <t>Jim</t>
  </si>
  <si>
    <t>Pam</t>
  </si>
  <si>
    <t>Dwight</t>
  </si>
  <si>
    <t>Angela</t>
  </si>
  <si>
    <t>Toby</t>
  </si>
  <si>
    <t>Michael</t>
  </si>
  <si>
    <t>Stanley</t>
  </si>
  <si>
    <t>Kevin</t>
  </si>
  <si>
    <t>Meredith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</si>
  <si>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</si>
  <si>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</si>
  <si>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</si>
  <si>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</si>
  <si>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</si>
  <si>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</si>
  <si>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</si>
  <si>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</si>
  <si>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</si>
  <si>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LEN(B2)</t>
  </si>
  <si>
    <t>EmployeeId</t>
  </si>
  <si>
    <t>Kevin.Malone@DunderMifflin.com</t>
  </si>
  <si>
    <t>Stanley.Hudson@gmail.com</t>
  </si>
  <si>
    <t>Meredith.Palmer@Yahoo.com</t>
  </si>
  <si>
    <t>Michael.Scott@DunderMifflin.com</t>
  </si>
  <si>
    <t>Toby.Flenderson@DunderMifflinCorporate.com</t>
  </si>
  <si>
    <t>Angela.Martin@DunderMifflin.com</t>
  </si>
  <si>
    <t>Dwight.Schrute@AOL.com</t>
  </si>
  <si>
    <t>Pam.Beasley@DunderMifflin.com</t>
  </si>
  <si>
    <t>Jim.Halpert@DunderMifflin.com</t>
  </si>
  <si>
    <t>Email</t>
  </si>
  <si>
    <t>Left</t>
  </si>
  <si>
    <t>Right</t>
  </si>
  <si>
    <t>TEXT(H2, "dd/mm/yyyy)</t>
  </si>
  <si>
    <t>TRIM(C2)</t>
  </si>
  <si>
    <t>CONCATENATE(B2, " " ,C2)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</si>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</sst>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am.Beasley@DunderMifflin.com" TargetMode="External"/><Relationship Id="rId3" Type="http://schemas.openxmlformats.org/officeDocument/2006/relationships/hyperlink" Target="mailto:Meredith.Palmer@Yahoo.com" TargetMode="External"/><Relationship Id="rId7" Type="http://schemas.openxmlformats.org/officeDocument/2006/relationships/hyperlink" Target="mailto:Dwight.Schrute@AOL.com" TargetMode="External"/><Relationship Id="rId2" Type="http://schemas.openxmlformats.org/officeDocument/2006/relationships/hyperlink" Target="mailto:Stanley.Hudson@gmail.com" TargetMode="External"/><Relationship Id="rId1" Type="http://schemas.openxmlformats.org/officeDocument/2006/relationships/hyperlink" Target="mailto:Kevin.Malone@DunderMifflin.com" TargetMode="External"/><Relationship Id="rId6" Type="http://schemas.openxmlformats.org/officeDocument/2006/relationships/hyperlink" Target="mailto:Angela.Martin@DunderMifflin.com" TargetMode="External"/><Relationship Id="rId5" Type="http://schemas.openxmlformats.org/officeDocument/2006/relationships/hyperlink" Target="mailto:Toby.Flenderson@DunderMifflinCorporate.com" TargetMode="External"/><Relationship Id="rId4" Type="http://schemas.openxmlformats.org/officeDocument/2006/relationships/hyperlink" Target="mailto:Michael.Scott@DunderMifflin.com" TargetMode="External"/><Relationship Id="rId9" Type="http://schemas.openxmlformats.org/officeDocument/2006/relationships/hyperlink" Target="mailto:Jim.Halpert@DunderMiffl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18CC-9B57-4383-BD51-450DABC3E9C7}">
  <dimension ref="A1:K10"/>
  <sheetViews>
    <sheetView zoomScale="90" zoomScaleNormal="90" workbookViewId="0">
      <selection activeCell="K3" sqref="K3"/>
    </sheetView>
  </sheetViews>
  <sheetFormatPr defaultRowHeight="14.5" x14ac:dyDescent="0.35"/>
  <cols>
    <col min="1" max="1" width="10.7265625" customWidth="1"/>
    <col min="2" max="2" width="11.90625" customWidth="1"/>
    <col min="3" max="3" width="11.6328125" customWidth="1"/>
    <col min="6" max="6" width="12.6328125" customWidth="1"/>
    <col min="7" max="7" width="13.7265625" customWidth="1"/>
    <col min="8" max="8" width="14" customWidth="1"/>
    <col min="9" max="9" width="13.81640625" customWidth="1"/>
    <col min="10" max="10" width="13" customWidth="1"/>
    <col min="11" max="11" width="1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</row>
    <row r="2" spans="1:11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s="1">
        <f>MAX(H2:H10)</f>
        <v>37902</v>
      </c>
      <c r="K2" s="1">
        <f>MIN(H2:H10)</f>
        <v>34892</v>
      </c>
    </row>
    <row r="3" spans="1:11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</row>
    <row r="5" spans="1:11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</row>
    <row r="6" spans="1:11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s="1" t="s">
        <v>25</v>
      </c>
    </row>
    <row r="7" spans="1:11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</row>
    <row r="8" spans="1:11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</row>
    <row r="9" spans="1:11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s="1" t="s">
        <v>26</v>
      </c>
    </row>
    <row r="10" spans="1:11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8728-053E-4496-9470-254DD0E62AD4}">
  <dimension ref="A1:K10"/>
  <sheetViews>
    <sheetView topLeftCell="F1" workbookViewId="0">
      <selection activeCell="K2" sqref="K2:K10"/>
    </sheetView>
  </sheetViews>
  <sheetFormatPr defaultRowHeight="14.5" x14ac:dyDescent="0.35"/>
  <cols>
    <col min="1" max="1" width="10.54296875" customWidth="1"/>
    <col min="2" max="2" width="10.453125" customWidth="1"/>
    <col min="3" max="3" width="12.08984375" customWidth="1"/>
    <col min="6" max="6" width="16.54296875" customWidth="1"/>
    <col min="8" max="9" width="10.453125" bestFit="1" customWidth="1"/>
    <col min="11" max="11" width="19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18</v>
      </c>
    </row>
    <row r="2" spans="1:11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t="str">
        <f>IF(D2:D10 &gt;  30, "Old", "Young")</f>
        <v>Young</v>
      </c>
      <c r="K2" t="str">
        <f>_xlfn.IFS(F2:F10 = "Salesman", "Sales", F2:F10 = "HR", "Fire Immediately", F2:F10 = "Regional Manager", "Give Christmas Bonus")</f>
        <v>Sales</v>
      </c>
    </row>
    <row r="3" spans="1:11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t="str">
        <f t="shared" ref="J3:J10" si="0">IF(D3:D11 &gt;  30, "Old", "Young")</f>
        <v>Young</v>
      </c>
      <c r="K3" t="e">
        <f t="shared" ref="K3:K10" si="1">_xlfn.IFS(F3:F11 = "Salesman", "Sales", F3:F11 = "HR", "Fire Immediately", F3:F11 = "Regional Manager", "Give Christmas Bonus")</f>
        <v>#N/A</v>
      </c>
    </row>
    <row r="4" spans="1:11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t="str">
        <f t="shared" si="0"/>
        <v>Young</v>
      </c>
      <c r="K4" t="str">
        <f t="shared" si="1"/>
        <v>Sales</v>
      </c>
    </row>
    <row r="5" spans="1:11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t="str">
        <f t="shared" si="0"/>
        <v>Old</v>
      </c>
      <c r="K5" t="e">
        <f t="shared" si="1"/>
        <v>#N/A</v>
      </c>
    </row>
    <row r="6" spans="1:11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str">
        <f t="shared" si="0"/>
        <v>Old</v>
      </c>
      <c r="K6" t="str">
        <f t="shared" si="1"/>
        <v>Fire Immediately</v>
      </c>
    </row>
    <row r="7" spans="1:11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 t="str">
        <f t="shared" si="0"/>
        <v>Old</v>
      </c>
      <c r="K7" t="str">
        <f t="shared" si="1"/>
        <v>Give Christmas Bonus</v>
      </c>
    </row>
    <row r="8" spans="1:11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 t="str">
        <f t="shared" si="0"/>
        <v>Old</v>
      </c>
      <c r="K8" t="e">
        <f t="shared" si="1"/>
        <v>#N/A</v>
      </c>
    </row>
    <row r="9" spans="1:11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str">
        <f t="shared" si="0"/>
        <v>Old</v>
      </c>
      <c r="K9" t="str">
        <f t="shared" si="1"/>
        <v>Sales</v>
      </c>
    </row>
    <row r="10" spans="1:11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E196-1FE6-45C6-8DD5-27DA262DD6CC}">
  <dimension ref="A1:J10"/>
  <sheetViews>
    <sheetView workbookViewId="0">
      <selection sqref="A1:I10"/>
    </sheetView>
  </sheetViews>
  <sheetFormatPr defaultRowHeight="14.5" x14ac:dyDescent="0.35"/>
  <cols>
    <col min="1" max="1" width="10.54296875" customWidth="1"/>
    <col min="3" max="3" width="10.7265625" customWidth="1"/>
    <col min="6" max="6" width="16.81640625" customWidth="1"/>
    <col min="8" max="9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</v>
      </c>
    </row>
    <row r="2" spans="1:10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>
        <f>LEN(C2:C10)</f>
        <v>7</v>
      </c>
    </row>
    <row r="3" spans="1:10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>
        <f t="shared" ref="J3:J10" si="0">LEN(C3:C11)</f>
        <v>7</v>
      </c>
    </row>
    <row r="4" spans="1:10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>
        <f t="shared" si="0"/>
        <v>7</v>
      </c>
    </row>
    <row r="5" spans="1:10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>
        <f t="shared" si="0"/>
        <v>6</v>
      </c>
    </row>
    <row r="6" spans="1:10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>
        <f t="shared" si="0"/>
        <v>10</v>
      </c>
    </row>
    <row r="7" spans="1:10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>
        <f t="shared" si="0"/>
        <v>5</v>
      </c>
    </row>
    <row r="8" spans="1:10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>
        <f t="shared" si="0"/>
        <v>6</v>
      </c>
    </row>
    <row r="9" spans="1:10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>
        <f t="shared" si="0"/>
        <v>6</v>
      </c>
    </row>
    <row r="10" spans="1:10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964F-672C-451A-8817-9DC318666050}">
  <dimension ref="A1:M10"/>
  <sheetViews>
    <sheetView topLeftCell="H1" zoomScale="90" zoomScaleNormal="90" workbookViewId="0">
      <selection activeCell="I21" sqref="I21"/>
    </sheetView>
  </sheetViews>
  <sheetFormatPr defaultRowHeight="14.5" x14ac:dyDescent="0.35"/>
  <cols>
    <col min="1" max="1" width="10.81640625" customWidth="1"/>
    <col min="8" max="9" width="10.453125" bestFit="1" customWidth="1"/>
    <col min="10" max="10" width="41.26953125" customWidth="1"/>
  </cols>
  <sheetData>
    <row r="1" spans="1:13" x14ac:dyDescent="0.35">
      <c r="A1" t="s">
        <v>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</v>
      </c>
      <c r="K1" t="s">
        <v>57</v>
      </c>
      <c r="L1" t="s">
        <v>58</v>
      </c>
      <c r="M1" t="s">
        <v>58</v>
      </c>
    </row>
    <row r="2" spans="1:13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s="3" t="s">
        <v>55</v>
      </c>
      <c r="K2" t="str">
        <f>LEFT(B2:B10,3)</f>
        <v>Jim</v>
      </c>
      <c r="L2" t="str">
        <f>RIGHT(A2:A10,1)</f>
        <v>1</v>
      </c>
      <c r="M2" t="str">
        <f>RIGHT(H2:H10, 4)</f>
        <v>6933</v>
      </c>
    </row>
    <row r="3" spans="1:13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s="3" t="s">
        <v>54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 4)</f>
        <v>6229</v>
      </c>
    </row>
    <row r="4" spans="1:13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s="3" t="s">
        <v>53</v>
      </c>
      <c r="K4" t="str">
        <f t="shared" si="0"/>
        <v>Dwi</v>
      </c>
      <c r="L4" t="str">
        <f t="shared" si="1"/>
        <v>3</v>
      </c>
      <c r="M4" t="str">
        <f t="shared" si="2"/>
        <v>6623</v>
      </c>
    </row>
    <row r="5" spans="1:13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s="3" t="s">
        <v>52</v>
      </c>
      <c r="K5" t="str">
        <f t="shared" si="0"/>
        <v>Ang</v>
      </c>
      <c r="L5" t="str">
        <f t="shared" si="1"/>
        <v>4</v>
      </c>
      <c r="M5" t="str">
        <f t="shared" si="2"/>
        <v>6647</v>
      </c>
    </row>
    <row r="6" spans="1:13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s="3" t="s">
        <v>51</v>
      </c>
      <c r="K6" t="str">
        <f t="shared" si="0"/>
        <v>Tob</v>
      </c>
      <c r="L6" t="str">
        <f t="shared" si="1"/>
        <v>5</v>
      </c>
      <c r="M6" t="str">
        <f t="shared" si="2"/>
        <v>7047</v>
      </c>
    </row>
    <row r="7" spans="1:13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37047</v>
      </c>
      <c r="I7" s="2">
        <v>41587</v>
      </c>
      <c r="J7" s="3" t="s">
        <v>50</v>
      </c>
      <c r="K7" t="str">
        <f t="shared" si="0"/>
        <v>Mic</v>
      </c>
      <c r="L7" t="str">
        <f t="shared" si="1"/>
        <v>6</v>
      </c>
      <c r="M7" t="str">
        <f t="shared" si="2"/>
        <v>7047</v>
      </c>
    </row>
    <row r="8" spans="1:13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41587</v>
      </c>
      <c r="J8" s="3" t="s">
        <v>49</v>
      </c>
      <c r="K8" t="str">
        <f t="shared" si="0"/>
        <v>Mer</v>
      </c>
      <c r="L8" t="str">
        <f t="shared" si="1"/>
        <v>7</v>
      </c>
      <c r="M8" t="str">
        <f t="shared" si="2"/>
        <v>7844</v>
      </c>
    </row>
    <row r="9" spans="1:13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s="3" t="s">
        <v>48</v>
      </c>
      <c r="K9" t="str">
        <f t="shared" si="0"/>
        <v>Sta</v>
      </c>
      <c r="L9" t="str">
        <f t="shared" si="1"/>
        <v>8</v>
      </c>
      <c r="M9" t="str">
        <f t="shared" si="2"/>
        <v>7505</v>
      </c>
    </row>
    <row r="10" spans="1:13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23</v>
      </c>
      <c r="J10" s="3" t="s">
        <v>47</v>
      </c>
      <c r="K10" t="str">
        <f t="shared" si="0"/>
        <v>Kev</v>
      </c>
      <c r="L10" t="str">
        <f t="shared" si="1"/>
        <v>9</v>
      </c>
      <c r="M10" t="str">
        <f t="shared" si="2"/>
        <v>7902</v>
      </c>
    </row>
  </sheetData>
  <hyperlinks>
    <hyperlink ref="J10" r:id="rId1" xr:uid="{6170A671-5B30-4D50-8218-06A54A8C6AAC}"/>
    <hyperlink ref="J9" r:id="rId2" xr:uid="{BF6B1353-B2B3-4F73-A9A4-1BB2701E9535}"/>
    <hyperlink ref="J8" r:id="rId3" xr:uid="{3D956E07-594D-4E9E-AA88-605F8A665A4A}"/>
    <hyperlink ref="J7" r:id="rId4" xr:uid="{69F574F8-33D3-46C1-899D-8DA17545E460}"/>
    <hyperlink ref="J6" r:id="rId5" xr:uid="{143682F8-F080-460B-8D67-982E1E0A738D}"/>
    <hyperlink ref="J5" r:id="rId6" xr:uid="{A61517A0-E228-4922-B95E-BCCC88646832}"/>
    <hyperlink ref="J4" r:id="rId7" xr:uid="{2B5C2FBF-464D-4EE5-9451-A7A53F113F8A}"/>
    <hyperlink ref="J3" r:id="rId8" xr:uid="{59FB8FB9-6422-4F44-9F98-7844C6A5E79B}"/>
    <hyperlink ref="J2" r:id="rId9" xr:uid="{B5604771-B496-41D1-B02E-FE933B0A11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3EF8-3EC8-4E56-8BB9-DA8FAEE9AC84}">
  <dimension ref="A1:L10"/>
  <sheetViews>
    <sheetView topLeftCell="E1" workbookViewId="0">
      <selection activeCell="L2" sqref="L2:L10"/>
    </sheetView>
  </sheetViews>
  <sheetFormatPr defaultRowHeight="14.5" x14ac:dyDescent="0.35"/>
  <cols>
    <col min="8" max="9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</row>
    <row r="2" spans="1:12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t="str">
        <f>TEXT(H2:H10,"dd/mm/yyyy")</f>
        <v>11/02/2001</v>
      </c>
      <c r="L2" t="str">
        <f>RIGHT(J2:J10,4)</f>
        <v>2001</v>
      </c>
    </row>
    <row r="3" spans="1:12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t="str">
        <f t="shared" ref="J3:J10" si="0">TEXT(H3:H11,"dd/mm/yyyy")</f>
        <v>10/03/1999</v>
      </c>
      <c r="L3" t="str">
        <f t="shared" ref="L3:L10" si="1">RIGHT(J3:J11,4)</f>
        <v>1999</v>
      </c>
    </row>
    <row r="4" spans="1:12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t="str">
        <f t="shared" si="0"/>
        <v>07/04/2000</v>
      </c>
      <c r="L4" t="str">
        <f t="shared" si="1"/>
        <v>2000</v>
      </c>
    </row>
    <row r="5" spans="1:12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t="str">
        <f t="shared" si="0"/>
        <v>01/05/2000</v>
      </c>
      <c r="L5" t="str">
        <f t="shared" si="1"/>
        <v>2000</v>
      </c>
    </row>
    <row r="6" spans="1:12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str">
        <f t="shared" si="0"/>
        <v>05/06/2001</v>
      </c>
      <c r="L6" t="str">
        <f t="shared" si="1"/>
        <v>2001</v>
      </c>
    </row>
    <row r="7" spans="1:12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 t="str">
        <f t="shared" si="0"/>
        <v>12/07/1995</v>
      </c>
      <c r="L7" t="str">
        <f t="shared" si="1"/>
        <v>1995</v>
      </c>
    </row>
    <row r="8" spans="1:12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 t="str">
        <f t="shared" si="0"/>
        <v>11/08/2003</v>
      </c>
      <c r="L8" t="str">
        <f t="shared" si="1"/>
        <v>2003</v>
      </c>
    </row>
    <row r="9" spans="1:12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str">
        <f t="shared" si="0"/>
        <v>06/09/2002</v>
      </c>
      <c r="L9" t="str">
        <f t="shared" si="1"/>
        <v>2002</v>
      </c>
    </row>
    <row r="10" spans="1:12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 t="str">
        <f t="shared" si="0"/>
        <v>08/10/2003</v>
      </c>
      <c r="L10" t="str">
        <f t="shared" si="1"/>
        <v>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346F-0F58-4951-80B9-BAF11E5F7933}">
  <dimension ref="A1:J10"/>
  <sheetViews>
    <sheetView topLeftCell="E1" workbookViewId="0">
      <selection activeCell="K14" sqref="K14"/>
    </sheetView>
  </sheetViews>
  <sheetFormatPr defaultRowHeight="14.5" x14ac:dyDescent="0.35"/>
  <cols>
    <col min="8" max="9" width="10.453125" bestFit="1" customWidth="1"/>
    <col min="10" max="10" width="10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60</v>
      </c>
    </row>
    <row r="2" spans="1:10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t="str">
        <f>TRIM(C2:C10)</f>
        <v>Halpert</v>
      </c>
    </row>
    <row r="3" spans="1:10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t="str">
        <f t="shared" ref="J3:J10" si="0">TRIM(C3:C11)</f>
        <v>Beasley</v>
      </c>
    </row>
    <row r="4" spans="1:10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t="str">
        <f t="shared" si="0"/>
        <v>Schrute</v>
      </c>
    </row>
    <row r="5" spans="1:10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t="str">
        <f t="shared" si="0"/>
        <v>Martin</v>
      </c>
    </row>
    <row r="6" spans="1:10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str">
        <f t="shared" si="0"/>
        <v>Flenderson</v>
      </c>
    </row>
    <row r="7" spans="1:10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 t="str">
        <f t="shared" si="0"/>
        <v>Scott</v>
      </c>
    </row>
    <row r="8" spans="1:10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 t="str">
        <f t="shared" si="0"/>
        <v>Palmer</v>
      </c>
    </row>
    <row r="9" spans="1:10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str">
        <f t="shared" si="0"/>
        <v>Hudson</v>
      </c>
    </row>
    <row r="10" spans="1:10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C850-419F-4D04-8D53-A5323BACA54B}">
  <dimension ref="A1:J10"/>
  <sheetViews>
    <sheetView topLeftCell="F1" workbookViewId="0">
      <selection activeCell="J2" sqref="J2"/>
    </sheetView>
  </sheetViews>
  <sheetFormatPr defaultRowHeight="14.5" x14ac:dyDescent="0.35"/>
  <cols>
    <col min="8" max="9" width="10.453125" bestFit="1" customWidth="1"/>
    <col min="10" max="10" width="22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</row>
    <row r="2" spans="1:10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t="str">
        <f>CONCATENATE(B2," ",C2)</f>
        <v>Jim Halpert</v>
      </c>
    </row>
    <row r="3" spans="1:10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t="str">
        <f t="shared" ref="J3:J10" si="0">CONCATENATE(B3," ",C3)</f>
        <v>Pam Beasley</v>
      </c>
    </row>
    <row r="4" spans="1:10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t="str">
        <f t="shared" si="0"/>
        <v>Dwight Schrute</v>
      </c>
    </row>
    <row r="5" spans="1:10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t="str">
        <f t="shared" si="0"/>
        <v>Angela Martin</v>
      </c>
    </row>
    <row r="6" spans="1:10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str">
        <f t="shared" si="0"/>
        <v>Toby Flenderson</v>
      </c>
    </row>
    <row r="7" spans="1:10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 t="str">
        <f t="shared" si="0"/>
        <v>Michael Scott</v>
      </c>
    </row>
    <row r="8" spans="1:10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 t="str">
        <f t="shared" si="0"/>
        <v>Meredith Palmer</v>
      </c>
    </row>
    <row r="9" spans="1:10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str">
        <f t="shared" si="0"/>
        <v>Stanley Hudson</v>
      </c>
    </row>
    <row r="10" spans="1:10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 t="str">
        <f t="shared" si="0"/>
        <v>Kevin Malone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880B-5B7C-421A-955F-976707BC2F6B}">
  <dimension ref="A1:L10"/>
  <sheetViews>
    <sheetView tabSelected="1" topLeftCell="G1" zoomScale="90" zoomScaleNormal="90" workbookViewId="0">
      <selection activeCell="K2" sqref="K2:K10"/>
    </sheetView>
  </sheetViews>
  <sheetFormatPr defaultRowHeight="14.5" x14ac:dyDescent="0.35"/>
  <cols>
    <col min="8" max="9" width="10.6328125" bestFit="1" customWidth="1"/>
    <col min="10" max="10" width="13.36328125" customWidth="1"/>
    <col min="11" max="11" width="14.1796875" customWidth="1"/>
    <col min="12" max="12" width="16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62</v>
      </c>
      <c r="K1" t="s">
        <v>63</v>
      </c>
      <c r="L1" t="s">
        <v>64</v>
      </c>
    </row>
    <row r="2" spans="1:12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 t="str">
        <f>SUBSTITUTE(H2:H10,"/","-",1)</f>
        <v>36933</v>
      </c>
      <c r="K2" t="str">
        <f>SUBSTITUTE(H2:H10,"/","-",2)</f>
        <v>36933</v>
      </c>
      <c r="L2" t="str">
        <f>SUBSTITUTE(H2:H10,"/","-")</f>
        <v>36933</v>
      </c>
    </row>
    <row r="3" spans="1:12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 t="str">
        <f t="shared" ref="J3:J10" si="0">SUBSTITUTE(H3:H11,"/","-",1)</f>
        <v>36229</v>
      </c>
      <c r="K3" t="str">
        <f t="shared" ref="K3:K10" si="1">SUBSTITUTE(H3:H11,"/","-",2)</f>
        <v>36229</v>
      </c>
      <c r="L3" t="str">
        <f t="shared" ref="L3:L10" si="2">SUBSTITUTE(H3:H11,"/","-")</f>
        <v>36229</v>
      </c>
    </row>
    <row r="4" spans="1:12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 t="str">
        <f t="shared" si="0"/>
        <v>36623</v>
      </c>
      <c r="K4" t="str">
        <f t="shared" si="1"/>
        <v>36623</v>
      </c>
      <c r="L4" t="str">
        <f t="shared" si="2"/>
        <v>36623</v>
      </c>
    </row>
    <row r="5" spans="1:12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 t="str">
        <f t="shared" si="0"/>
        <v>36647</v>
      </c>
      <c r="K5" t="str">
        <f t="shared" si="1"/>
        <v>36647</v>
      </c>
      <c r="L5" t="str">
        <f t="shared" si="2"/>
        <v>36647</v>
      </c>
    </row>
    <row r="6" spans="1:12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str">
        <f t="shared" si="0"/>
        <v>37047</v>
      </c>
      <c r="K6" t="str">
        <f t="shared" si="1"/>
        <v>37047</v>
      </c>
      <c r="L6" t="str">
        <f t="shared" si="2"/>
        <v>37047</v>
      </c>
    </row>
    <row r="7" spans="1:12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  <c r="J7" t="str">
        <f t="shared" si="0"/>
        <v>34892</v>
      </c>
      <c r="K7" t="str">
        <f t="shared" si="1"/>
        <v>34892</v>
      </c>
      <c r="L7" t="str">
        <f t="shared" si="2"/>
        <v>34892</v>
      </c>
    </row>
    <row r="8" spans="1:12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 t="str">
        <f t="shared" si="0"/>
        <v>37844</v>
      </c>
      <c r="K8" t="str">
        <f t="shared" si="1"/>
        <v>37844</v>
      </c>
      <c r="L8" t="str">
        <f t="shared" si="2"/>
        <v>37844</v>
      </c>
    </row>
    <row r="9" spans="1:12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str">
        <f t="shared" si="0"/>
        <v>37505</v>
      </c>
      <c r="K9" t="str">
        <f t="shared" si="1"/>
        <v>37505</v>
      </c>
      <c r="L9" t="str">
        <f t="shared" si="2"/>
        <v>37505</v>
      </c>
    </row>
    <row r="10" spans="1:12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  <c r="J10" t="str">
        <f t="shared" si="0"/>
        <v>37902</v>
      </c>
      <c r="K10" t="str">
        <f t="shared" si="1"/>
        <v>37902</v>
      </c>
      <c r="L10" t="str">
        <f t="shared" si="2"/>
        <v>37902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AC1F-6BFD-45D4-AF80-E49B48A83514}">
  <dimension ref="A1:L10"/>
  <sheetViews>
    <sheetView zoomScale="70" zoomScaleNormal="70" workbookViewId="0">
      <selection activeCell="L3" sqref="L3"/>
    </sheetView>
  </sheetViews>
  <sheetFormatPr defaultRowHeight="14.5" x14ac:dyDescent="0.35"/>
  <cols>
    <col min="8" max="9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</v>
      </c>
      <c r="K1" t="s">
        <v>66</v>
      </c>
      <c r="L1" t="s">
        <v>67</v>
      </c>
    </row>
    <row r="2" spans="1:12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</row>
    <row r="4" spans="1:12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</row>
    <row r="5" spans="1:12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</row>
    <row r="6" spans="1:12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</row>
    <row r="7" spans="1:12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</row>
    <row r="8" spans="1:12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</row>
    <row r="9" spans="1:12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</row>
    <row r="10" spans="1:12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5389-A298-4553-A5CF-EF587B90B1F5}">
  <dimension ref="A1:L10"/>
  <sheetViews>
    <sheetView zoomScale="70" zoomScaleNormal="70" workbookViewId="0">
      <selection activeCell="K11" sqref="K11"/>
    </sheetView>
  </sheetViews>
  <sheetFormatPr defaultRowHeight="14.5" x14ac:dyDescent="0.35"/>
  <cols>
    <col min="8" max="9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68</v>
      </c>
      <c r="K1" t="s">
        <v>69</v>
      </c>
      <c r="L1" t="s">
        <v>69</v>
      </c>
    </row>
    <row r="2" spans="1:12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>
        <f>COUNT(D2:D10)</f>
        <v>9</v>
      </c>
      <c r="K2">
        <f>COUNTIF(G2:G10,"&gt;45000")</f>
        <v>5</v>
      </c>
      <c r="L2">
        <f>COUNTIFS(A2:A10,"1005",E2:E10,"Male")</f>
        <v>1</v>
      </c>
    </row>
    <row r="3" spans="1:12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</row>
    <row r="4" spans="1:12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</row>
    <row r="5" spans="1:12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</row>
    <row r="6" spans="1:12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</row>
    <row r="7" spans="1:12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34892</v>
      </c>
      <c r="I7" s="1">
        <v>41587</v>
      </c>
    </row>
    <row r="8" spans="1:12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</row>
    <row r="9" spans="1:12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</row>
    <row r="10" spans="1:12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BBB7-DE66-4F48-B8BA-4751111783EF}">
  <dimension ref="A1:K10"/>
  <sheetViews>
    <sheetView topLeftCell="E1" zoomScale="90" zoomScaleNormal="90" workbookViewId="0">
      <selection activeCell="M13" sqref="M13"/>
    </sheetView>
  </sheetViews>
  <sheetFormatPr defaultRowHeight="14.5" x14ac:dyDescent="0.35"/>
  <cols>
    <col min="8" max="9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70</v>
      </c>
      <c r="K1" t="s">
        <v>71</v>
      </c>
    </row>
    <row r="2" spans="1:11" x14ac:dyDescent="0.35">
      <c r="A2">
        <v>1001</v>
      </c>
      <c r="B2" t="s">
        <v>27</v>
      </c>
      <c r="C2" t="s">
        <v>36</v>
      </c>
      <c r="D2">
        <v>30</v>
      </c>
      <c r="E2" t="s">
        <v>9</v>
      </c>
      <c r="F2" t="s">
        <v>11</v>
      </c>
      <c r="G2">
        <v>45000</v>
      </c>
      <c r="H2" s="1">
        <v>36933</v>
      </c>
      <c r="I2" s="1">
        <v>42164</v>
      </c>
      <c r="J2">
        <f>_xlfn.DAYS(I2,H2)</f>
        <v>5231</v>
      </c>
      <c r="K2">
        <f>NETWORKDAYS(H2,I2)</f>
        <v>3737</v>
      </c>
    </row>
    <row r="3" spans="1:11" x14ac:dyDescent="0.35">
      <c r="A3">
        <v>1002</v>
      </c>
      <c r="B3" t="s">
        <v>28</v>
      </c>
      <c r="C3" t="s">
        <v>37</v>
      </c>
      <c r="D3">
        <v>30</v>
      </c>
      <c r="E3" t="s">
        <v>10</v>
      </c>
      <c r="F3" t="s">
        <v>12</v>
      </c>
      <c r="G3">
        <v>36000</v>
      </c>
      <c r="H3" s="1">
        <v>36229</v>
      </c>
      <c r="I3" s="1">
        <v>42287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5">
      <c r="A4">
        <v>1003</v>
      </c>
      <c r="B4" t="s">
        <v>29</v>
      </c>
      <c r="C4" t="s">
        <v>38</v>
      </c>
      <c r="D4">
        <v>29</v>
      </c>
      <c r="E4" t="s">
        <v>9</v>
      </c>
      <c r="F4" t="s">
        <v>11</v>
      </c>
      <c r="G4">
        <v>63000</v>
      </c>
      <c r="H4" s="1">
        <v>36623</v>
      </c>
      <c r="I4" s="1">
        <v>42956</v>
      </c>
      <c r="J4">
        <f t="shared" si="0"/>
        <v>6333</v>
      </c>
      <c r="K4">
        <f t="shared" si="1"/>
        <v>4524</v>
      </c>
    </row>
    <row r="5" spans="1:11" x14ac:dyDescent="0.35">
      <c r="A5">
        <v>1004</v>
      </c>
      <c r="B5" t="s">
        <v>30</v>
      </c>
      <c r="C5" t="s">
        <v>39</v>
      </c>
      <c r="D5">
        <v>31</v>
      </c>
      <c r="E5" t="s">
        <v>10</v>
      </c>
      <c r="F5" t="s">
        <v>13</v>
      </c>
      <c r="G5">
        <v>47000</v>
      </c>
      <c r="H5" s="1">
        <v>36647</v>
      </c>
      <c r="I5" s="1">
        <v>42075</v>
      </c>
      <c r="J5">
        <f t="shared" si="0"/>
        <v>5428</v>
      </c>
      <c r="K5">
        <f t="shared" si="1"/>
        <v>3879</v>
      </c>
    </row>
    <row r="6" spans="1:11" x14ac:dyDescent="0.35">
      <c r="A6">
        <v>1005</v>
      </c>
      <c r="B6" t="s">
        <v>31</v>
      </c>
      <c r="C6" t="s">
        <v>40</v>
      </c>
      <c r="D6">
        <v>32</v>
      </c>
      <c r="E6" t="s">
        <v>9</v>
      </c>
      <c r="F6" t="s">
        <v>14</v>
      </c>
      <c r="G6">
        <v>50000</v>
      </c>
      <c r="H6" s="1">
        <v>37047</v>
      </c>
      <c r="I6" t="s">
        <v>24</v>
      </c>
      <c r="J6" t="e">
        <f>_xlfn.DAYS(I6,H6)</f>
        <v>#VALUE!</v>
      </c>
      <c r="K6" t="e">
        <f t="shared" si="1"/>
        <v>#VALUE!</v>
      </c>
    </row>
    <row r="7" spans="1:11" x14ac:dyDescent="0.35">
      <c r="A7">
        <v>1006</v>
      </c>
      <c r="B7" t="s">
        <v>32</v>
      </c>
      <c r="C7" t="s">
        <v>41</v>
      </c>
      <c r="D7">
        <v>35</v>
      </c>
      <c r="E7" t="s">
        <v>9</v>
      </c>
      <c r="F7" t="s">
        <v>19</v>
      </c>
      <c r="G7">
        <v>65000</v>
      </c>
      <c r="H7" s="1">
        <v>37047</v>
      </c>
      <c r="I7" s="1">
        <v>41587</v>
      </c>
      <c r="J7">
        <f t="shared" si="0"/>
        <v>4540</v>
      </c>
      <c r="K7">
        <f t="shared" si="1"/>
        <v>3244</v>
      </c>
    </row>
    <row r="8" spans="1:11" x14ac:dyDescent="0.35">
      <c r="A8">
        <v>1007</v>
      </c>
      <c r="B8" t="s">
        <v>35</v>
      </c>
      <c r="C8" t="s">
        <v>42</v>
      </c>
      <c r="D8">
        <v>32</v>
      </c>
      <c r="E8" t="s">
        <v>10</v>
      </c>
      <c r="F8" t="s">
        <v>20</v>
      </c>
      <c r="G8">
        <v>41000</v>
      </c>
      <c r="H8" s="1">
        <v>37844</v>
      </c>
      <c r="I8" s="1">
        <v>41374</v>
      </c>
      <c r="J8">
        <f t="shared" si="0"/>
        <v>3530</v>
      </c>
      <c r="K8">
        <f t="shared" si="1"/>
        <v>2523</v>
      </c>
    </row>
    <row r="9" spans="1:11" x14ac:dyDescent="0.35">
      <c r="A9">
        <v>1008</v>
      </c>
      <c r="B9" t="s">
        <v>33</v>
      </c>
      <c r="C9" t="s">
        <v>43</v>
      </c>
      <c r="D9">
        <v>38</v>
      </c>
      <c r="E9" t="s">
        <v>9</v>
      </c>
      <c r="F9" t="s">
        <v>11</v>
      </c>
      <c r="G9">
        <v>48000</v>
      </c>
      <c r="H9" s="1">
        <v>37505</v>
      </c>
      <c r="I9" t="s">
        <v>23</v>
      </c>
      <c r="J9" t="e">
        <f t="shared" si="0"/>
        <v>#VALUE!</v>
      </c>
      <c r="K9" t="e">
        <f t="shared" si="1"/>
        <v>#VALUE!</v>
      </c>
    </row>
    <row r="10" spans="1:11" x14ac:dyDescent="0.35">
      <c r="A10">
        <v>1009</v>
      </c>
      <c r="B10" t="s">
        <v>34</v>
      </c>
      <c r="C10" t="s">
        <v>44</v>
      </c>
      <c r="D10">
        <v>31</v>
      </c>
      <c r="E10" t="s">
        <v>9</v>
      </c>
      <c r="F10" t="s">
        <v>13</v>
      </c>
      <c r="G10">
        <v>42000</v>
      </c>
      <c r="H10" s="1">
        <v>37902</v>
      </c>
      <c r="I10" t="s">
        <v>23</v>
      </c>
      <c r="J10" t="e">
        <f t="shared" si="0"/>
        <v>#VALUE!</v>
      </c>
      <c r="K10" t="e">
        <f t="shared" si="1"/>
        <v>#VALUE!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MAX_MIN</vt:lpstr>
      <vt:lpstr>IF_IFS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Marife Panugan</dc:creator>
  <cp:lastModifiedBy>Marife Panugan</cp:lastModifiedBy>
  <dcterms:created xsi:type="dcterms:W3CDTF">2025-04-29T09:23:19Z</dcterms:created>
  <dcterms:modified xsi:type="dcterms:W3CDTF">2025-04-30T14:26:33Z</dcterms:modified>
</cp:coreProperties>
</file>